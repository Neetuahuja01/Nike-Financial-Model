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portdotacdotuk-my.sharepoint.com/personal/up2540457_myport_ac_uk/Documents/"/>
    </mc:Choice>
  </mc:AlternateContent>
  <xr:revisionPtr revIDLastSave="0" documentId="8_{AD551C6A-DFFA-4126-9D1E-1D31EFC2E73E}" xr6:coauthVersionLast="47" xr6:coauthVersionMax="47" xr10:uidLastSave="{00000000-0000-0000-0000-000000000000}"/>
  <bookViews>
    <workbookView xWindow="-96" yWindow="0" windowWidth="11712" windowHeight="12336" activeTab="1" xr2:uid="{3009D586-09F0-45E4-8C48-394D465F9484}"/>
  </bookViews>
  <sheets>
    <sheet name="Cover page" sheetId="2" r:id="rId1"/>
    <sheet name="End Foreca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I18" i="1"/>
  <c r="J18" i="1"/>
  <c r="K18" i="1"/>
  <c r="G18" i="1"/>
  <c r="G27" i="1"/>
  <c r="G29" i="1"/>
  <c r="G20" i="1"/>
  <c r="H20" i="1" s="1"/>
  <c r="I20" i="1" s="1"/>
  <c r="G19" i="1"/>
  <c r="I19" i="1" s="1"/>
  <c r="E21" i="1"/>
  <c r="F21" i="1"/>
  <c r="D21" i="1"/>
  <c r="E20" i="1"/>
  <c r="F20" i="1"/>
  <c r="D20" i="1"/>
  <c r="E19" i="1"/>
  <c r="F19" i="1"/>
  <c r="H19" i="1" s="1"/>
  <c r="D19" i="1"/>
  <c r="F18" i="1"/>
  <c r="E18" i="1"/>
  <c r="G28" i="1" s="1"/>
  <c r="K19" i="1" l="1"/>
  <c r="H21" i="1"/>
  <c r="I21" i="1"/>
  <c r="H28" i="1"/>
  <c r="G21" i="1"/>
  <c r="J19" i="1"/>
  <c r="J20" i="1"/>
  <c r="K20" i="1" s="1"/>
  <c r="H29" i="1" l="1"/>
  <c r="H27" i="1"/>
  <c r="I28" i="1"/>
  <c r="J21" i="1"/>
  <c r="K21" i="1" s="1"/>
  <c r="J28" i="1" l="1"/>
  <c r="I29" i="1"/>
  <c r="I27" i="1"/>
  <c r="K28" i="1" l="1"/>
  <c r="J29" i="1"/>
  <c r="J27" i="1"/>
  <c r="K29" i="1" l="1"/>
  <c r="K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Neetu Ahuja</author>
  </authors>
  <commentList>
    <comment ref="C7" authorId="0" shapeId="0" xr:uid="{AEBBD80C-789D-4694-A8FF-DB4B66E3AB87}">
      <text>
        <r>
          <rPr>
            <b/>
            <sz val="9"/>
            <color indexed="81"/>
            <rFont val="Tahoma"/>
            <family val="2"/>
          </rPr>
          <t xml:space="preserve">Career Principles:
1 = Best case
2 = Base case
3 = Worst case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<sst xmlns="http://schemas.openxmlformats.org/spreadsheetml/2006/main" count="44" uniqueCount="44">
  <si>
    <t>Nike Financial Model</t>
  </si>
  <si>
    <t>Analysis Period: 2023A - 2030E</t>
  </si>
  <si>
    <t>Scenario Analysis</t>
  </si>
  <si>
    <t>General Settings</t>
  </si>
  <si>
    <t>Table of Contents</t>
  </si>
  <si>
    <t>Live Scenario</t>
  </si>
  <si>
    <t>Company Name</t>
  </si>
  <si>
    <t>Nike</t>
  </si>
  <si>
    <t>Cover Page</t>
  </si>
  <si>
    <t>Company Ticker</t>
  </si>
  <si>
    <t>ABC</t>
  </si>
  <si>
    <t>Income Statement</t>
  </si>
  <si>
    <t>Alerts</t>
  </si>
  <si>
    <t>Currency</t>
  </si>
  <si>
    <t>USD</t>
  </si>
  <si>
    <t>Balance Sheet</t>
  </si>
  <si>
    <t>Last Update</t>
  </si>
  <si>
    <t>Cash Flow Statement</t>
  </si>
  <si>
    <t>Balance Sheet Balances?</t>
  </si>
  <si>
    <t>Contact</t>
  </si>
  <si>
    <t>Johnson</t>
  </si>
  <si>
    <t>Assumptions &amp; Drivers</t>
  </si>
  <si>
    <t>Income Statement of Nike</t>
  </si>
  <si>
    <t>Revenue</t>
  </si>
  <si>
    <t>COGS</t>
  </si>
  <si>
    <t>Gross Profit</t>
  </si>
  <si>
    <t>Selling general and Administrative Expense</t>
  </si>
  <si>
    <t xml:space="preserve">Research and Development </t>
  </si>
  <si>
    <t>Operating Income</t>
  </si>
  <si>
    <t>Other income/ (Expense), net</t>
  </si>
  <si>
    <t>pre-tax-income</t>
  </si>
  <si>
    <t>Taxes</t>
  </si>
  <si>
    <t>Net income</t>
  </si>
  <si>
    <t>Income Statement Assumptions</t>
  </si>
  <si>
    <t>Revenue Growth Rate</t>
  </si>
  <si>
    <t>COGS as a % of Revenue</t>
  </si>
  <si>
    <t>SG$A as % of Revenue</t>
  </si>
  <si>
    <t>R$D as % of Revenue</t>
  </si>
  <si>
    <t>Other Income / (Expense), net</t>
  </si>
  <si>
    <t xml:space="preserve">Tax rate </t>
  </si>
  <si>
    <t>Revenue Scenarios</t>
  </si>
  <si>
    <t>Best Case</t>
  </si>
  <si>
    <t>Base Case</t>
  </si>
  <si>
    <t>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</si>
</sst>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&quot;E&quot;"/>
    <numFmt numFmtId="165" formatCode="#&quot;A&quot;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165" fontId="2" fillId="2" borderId="0" xfId="0" applyNumberFormat="1" applyFont="1" applyFill="1"/>
    <xf numFmtId="164" fontId="2" fillId="2" borderId="0" xfId="0" applyNumberFormat="1" applyFont="1" applyFill="1"/>
    <xf numFmtId="0" fontId="0" fillId="3" borderId="0" xfId="0" applyFill="1"/>
    <xf numFmtId="0" fontId="3" fillId="0" borderId="2" xfId="0" applyFont="1" applyBorder="1"/>
    <xf numFmtId="0" fontId="0" fillId="0" borderId="2" xfId="0" applyBorder="1"/>
    <xf numFmtId="0" fontId="0" fillId="4" borderId="2" xfId="0" applyFill="1" applyBorder="1"/>
    <xf numFmtId="3" fontId="5" fillId="0" borderId="0" xfId="3" applyNumberFormat="1"/>
    <xf numFmtId="3" fontId="5" fillId="0" borderId="0" xfId="3" applyNumberFormat="1" applyAlignment="1">
      <alignment horizontal="right"/>
    </xf>
    <xf numFmtId="3" fontId="7" fillId="0" borderId="1" xfId="3" applyNumberFormat="1" applyFont="1" applyBorder="1"/>
    <xf numFmtId="3" fontId="7" fillId="7" borderId="4" xfId="3" applyNumberFormat="1" applyFont="1" applyFill="1" applyBorder="1"/>
    <xf numFmtId="3" fontId="9" fillId="0" borderId="0" xfId="3" applyNumberFormat="1" applyFont="1" applyProtection="1">
      <protection locked="0"/>
    </xf>
    <xf numFmtId="3" fontId="10" fillId="0" borderId="1" xfId="3" applyNumberFormat="1" applyFont="1" applyBorder="1" applyProtection="1">
      <protection locked="0"/>
    </xf>
    <xf numFmtId="0" fontId="9" fillId="0" borderId="0" xfId="3" applyFont="1" applyProtection="1">
      <protection locked="0"/>
    </xf>
    <xf numFmtId="3" fontId="9" fillId="0" borderId="0" xfId="3" applyNumberFormat="1" applyFont="1" applyAlignment="1" applyProtection="1">
      <alignment horizontal="right"/>
      <protection locked="0"/>
    </xf>
    <xf numFmtId="3" fontId="10" fillId="7" borderId="4" xfId="3" applyNumberFormat="1" applyFont="1" applyFill="1" applyBorder="1" applyProtection="1">
      <protection locked="0"/>
    </xf>
    <xf numFmtId="0" fontId="3" fillId="8" borderId="0" xfId="0" applyFont="1" applyFill="1"/>
    <xf numFmtId="3" fontId="0" fillId="0" borderId="0" xfId="0" applyNumberFormat="1"/>
    <xf numFmtId="9" fontId="0" fillId="0" borderId="0" xfId="1" applyFont="1"/>
    <xf numFmtId="9" fontId="0" fillId="0" borderId="0" xfId="0" applyNumberFormat="1"/>
    <xf numFmtId="0" fontId="14" fillId="8" borderId="0" xfId="0" applyFont="1" applyFill="1"/>
    <xf numFmtId="0" fontId="14" fillId="3" borderId="0" xfId="0" applyFont="1" applyFill="1"/>
    <xf numFmtId="0" fontId="4" fillId="0" borderId="0" xfId="2"/>
    <xf numFmtId="0" fontId="5" fillId="0" borderId="0" xfId="6"/>
    <xf numFmtId="17" fontId="6" fillId="5" borderId="0" xfId="6" applyNumberFormat="1" applyFont="1" applyFill="1" applyAlignment="1">
      <alignment horizontal="left"/>
    </xf>
    <xf numFmtId="17" fontId="6" fillId="5" borderId="0" xfId="6" applyNumberFormat="1" applyFont="1" applyFill="1" applyAlignment="1">
      <alignment horizontal="center"/>
    </xf>
    <xf numFmtId="0" fontId="8" fillId="0" borderId="3" xfId="6" applyFont="1" applyBorder="1"/>
    <xf numFmtId="0" fontId="5" fillId="0" borderId="3" xfId="6" applyBorder="1"/>
    <xf numFmtId="17" fontId="6" fillId="0" borderId="0" xfId="6" applyNumberFormat="1" applyFont="1" applyAlignment="1">
      <alignment horizontal="left"/>
    </xf>
    <xf numFmtId="17" fontId="6" fillId="0" borderId="0" xfId="6" applyNumberFormat="1" applyFont="1" applyAlignment="1">
      <alignment horizontal="center"/>
    </xf>
    <xf numFmtId="0" fontId="5" fillId="0" borderId="2" xfId="6" applyBorder="1" applyAlignment="1">
      <alignment horizontal="center"/>
    </xf>
    <xf numFmtId="0" fontId="5" fillId="0" borderId="0" xfId="6" applyAlignment="1">
      <alignment horizontal="center"/>
    </xf>
    <xf numFmtId="0" fontId="7" fillId="6" borderId="2" xfId="6" applyFont="1" applyFill="1" applyBorder="1" applyAlignment="1">
      <alignment horizontal="center"/>
    </xf>
    <xf numFmtId="0" fontId="7" fillId="0" borderId="2" xfId="6" applyFont="1" applyBorder="1" applyAlignment="1">
      <alignment horizontal="center"/>
    </xf>
    <xf numFmtId="14" fontId="5" fillId="0" borderId="2" xfId="6" applyNumberFormat="1" applyBorder="1" applyAlignment="1">
      <alignment horizontal="center"/>
    </xf>
    <xf numFmtId="0" fontId="14" fillId="9" borderId="0" xfId="0" applyFont="1" applyFill="1"/>
    <xf numFmtId="0" fontId="8" fillId="0" borderId="0" xfId="0" applyFont="1"/>
  </cellXfs>
  <cellStyles count="8">
    <cellStyle name="Hyperlink" xfId="2" builtinId="8"/>
    <cellStyle name="Hyperlink 2" xfId="7" xr:uid="{1FC2DEF7-6CA3-446F-B53E-424E13ECB653}"/>
    <cellStyle name="Hyperlink 3" xfId="5" xr:uid="{A37CCF83-C6EE-41DD-96EC-13A2309F5D0D}"/>
    <cellStyle name="Normal" xfId="0" builtinId="0"/>
    <cellStyle name="Normal 2" xfId="6" xr:uid="{29928986-DB6A-4814-9D45-AE27716241C3}"/>
    <cellStyle name="Normal 3" xfId="3" xr:uid="{0417E0C8-7F2E-4FD6-B67A-F177E8D3F987}"/>
    <cellStyle name="Per cent" xfId="1" builtinId="5"/>
    <cellStyle name="Per cent 2" xfId="4" xr:uid="{2C180DB1-F3E0-4F0D-AB76-352C9F7E8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85D1-F489-4CCA-99EF-AC0B1F99E222}">
  <dimension ref="B2:I22"/>
  <sheetViews>
    <sheetView workbookViewId="0">
      <selection activeCell="H2" sqref="H2"/>
    </sheetView>
  </sheetViews>
  <sheetFormatPr defaultRowHeight="14.45"/>
  <cols>
    <col min="1" max="1" width="4.28515625" customWidth="1"/>
    <col min="3" max="3" width="15" customWidth="1"/>
    <col min="5" max="5" width="15.7109375" customWidth="1"/>
    <col min="6" max="6" width="25" customWidth="1"/>
    <col min="8" max="8" width="23.5703125" customWidth="1"/>
    <col min="9" max="9" width="20.42578125" customWidth="1"/>
  </cols>
  <sheetData>
    <row r="2" spans="2:9" ht="36">
      <c r="C2" s="27" t="s">
        <v>0</v>
      </c>
      <c r="H2" s="37" t="s">
        <v>1</v>
      </c>
    </row>
    <row r="3" spans="2:9" ht="15.6">
      <c r="C3" s="28"/>
      <c r="D3" s="28"/>
      <c r="E3" s="28"/>
      <c r="F3" s="28"/>
      <c r="G3" s="28"/>
      <c r="H3" s="28"/>
      <c r="I3" s="28"/>
    </row>
    <row r="5" spans="2:9" ht="15.6">
      <c r="B5" s="25" t="s">
        <v>2</v>
      </c>
      <c r="C5" s="26"/>
      <c r="D5" s="24"/>
      <c r="E5" s="25" t="s">
        <v>3</v>
      </c>
      <c r="F5" s="26"/>
      <c r="G5" s="24"/>
      <c r="H5" s="25" t="s">
        <v>4</v>
      </c>
      <c r="I5" s="26"/>
    </row>
    <row r="6" spans="2:9" ht="15.6">
      <c r="B6" s="29"/>
      <c r="C6" s="30"/>
      <c r="D6" s="24"/>
      <c r="E6" s="29"/>
      <c r="F6" s="30"/>
      <c r="G6" s="24"/>
      <c r="H6" s="29"/>
      <c r="I6" s="30"/>
    </row>
    <row r="7" spans="2:9" ht="15.6">
      <c r="B7" s="24" t="s">
        <v>5</v>
      </c>
      <c r="C7" s="33">
        <v>1</v>
      </c>
      <c r="D7" s="24"/>
      <c r="E7" s="24" t="s">
        <v>6</v>
      </c>
      <c r="F7" s="31" t="s">
        <v>7</v>
      </c>
      <c r="G7" s="24"/>
      <c r="H7" s="24" t="s">
        <v>8</v>
      </c>
      <c r="I7" s="32"/>
    </row>
    <row r="8" spans="2:9" ht="15.6">
      <c r="B8" s="24"/>
      <c r="C8" s="24"/>
      <c r="D8" s="24"/>
      <c r="E8" s="24" t="s">
        <v>9</v>
      </c>
      <c r="F8" s="31" t="s">
        <v>10</v>
      </c>
      <c r="G8" s="24"/>
      <c r="H8" s="23" t="s">
        <v>11</v>
      </c>
      <c r="I8" s="24"/>
    </row>
    <row r="9" spans="2:9" ht="15.6">
      <c r="B9" s="25" t="s">
        <v>12</v>
      </c>
      <c r="C9" s="26"/>
      <c r="D9" s="24"/>
      <c r="E9" s="24" t="s">
        <v>13</v>
      </c>
      <c r="F9" s="31" t="s">
        <v>14</v>
      </c>
      <c r="G9" s="24"/>
      <c r="H9" s="23" t="s">
        <v>15</v>
      </c>
      <c r="I9" s="24"/>
    </row>
    <row r="10" spans="2:9" ht="15.6">
      <c r="B10" s="29"/>
      <c r="C10" s="30"/>
      <c r="D10" s="24"/>
      <c r="E10" s="24" t="s">
        <v>16</v>
      </c>
      <c r="F10" s="35">
        <v>45870</v>
      </c>
      <c r="G10" s="24"/>
      <c r="H10" s="23" t="s">
        <v>17</v>
      </c>
      <c r="I10" s="24"/>
    </row>
    <row r="11" spans="2:9" ht="15.6">
      <c r="B11" s="24" t="s">
        <v>18</v>
      </c>
      <c r="C11" s="34"/>
      <c r="D11" s="24"/>
      <c r="E11" s="24" t="s">
        <v>19</v>
      </c>
      <c r="F11" s="31" t="s">
        <v>20</v>
      </c>
      <c r="G11" s="24"/>
      <c r="H11" s="23" t="s">
        <v>21</v>
      </c>
      <c r="I11" s="24"/>
    </row>
    <row r="22" spans="6:6">
      <c r="F22" s="23"/>
    </row>
  </sheetData>
  <hyperlinks>
    <hyperlink ref="H8" location="'End Forecast'!A1" display="Income Statement" xr:uid="{C44C1D0E-E805-43A0-9521-D6E7CA55254B}"/>
    <hyperlink ref="H9" location="'End Forecast'!A1" display="Balance Sheet" xr:uid="{5F495024-9D13-4E47-9E9F-3DAD9AD064B8}"/>
    <hyperlink ref="H10" location="'End Forecast'!A1" display="Cash Flow Statement" xr:uid="{3D070A85-77F0-46A7-A961-B22B9B43BCAB}"/>
    <hyperlink ref="H11" location="'End Forecast'!A1" display="Assumptions &amp; Drivers" xr:uid="{D452B1C4-01A3-43C6-A873-0D5CA2534B87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8F5C-A0F0-4528-AB13-87D8717A75F0}">
  <dimension ref="A2:K29"/>
  <sheetViews>
    <sheetView tabSelected="1" topLeftCell="B1" zoomScale="90" zoomScaleNormal="90" workbookViewId="0">
      <pane xSplit="1" ySplit="3" topLeftCell="C4" activePane="bottomRight" state="frozen"/>
      <selection pane="bottomRight"/>
      <selection pane="bottomLeft" activeCell="B4" sqref="B4"/>
      <selection pane="topRight" activeCell="C1" sqref="C1"/>
    </sheetView>
  </sheetViews>
  <sheetFormatPr defaultRowHeight="14.45" outlineLevelCol="1"/>
  <cols>
    <col min="1" max="1" width="18" customWidth="1"/>
    <col min="2" max="2" width="42.28515625" customWidth="1" outlineLevel="1"/>
    <col min="3" max="3" width="5.7109375" customWidth="1" outlineLevel="1"/>
    <col min="4" max="6" width="8.85546875" outlineLevel="1"/>
    <col min="7" max="7" width="12" customWidth="1" outlineLevel="1"/>
    <col min="8" max="11" width="8.85546875" outlineLevel="1"/>
  </cols>
  <sheetData>
    <row r="2" spans="1:11" ht="21">
      <c r="A2" s="4"/>
      <c r="B2" s="22" t="s">
        <v>22</v>
      </c>
      <c r="C2" s="4"/>
      <c r="D2" s="4"/>
      <c r="E2" s="4"/>
      <c r="F2" s="4"/>
      <c r="G2" s="4"/>
      <c r="H2" s="4"/>
      <c r="I2" s="4"/>
      <c r="J2" s="4"/>
      <c r="K2" s="4"/>
    </row>
    <row r="3" spans="1:11">
      <c r="A3" s="1"/>
      <c r="B3" s="1"/>
      <c r="C3" s="1"/>
      <c r="D3" s="2">
        <v>2023</v>
      </c>
      <c r="E3" s="2">
        <v>2024</v>
      </c>
      <c r="F3" s="2">
        <v>2025</v>
      </c>
      <c r="G3" s="3">
        <v>2026</v>
      </c>
      <c r="H3" s="3">
        <v>2027</v>
      </c>
      <c r="I3" s="3">
        <v>2028</v>
      </c>
      <c r="J3" s="3">
        <v>2029</v>
      </c>
      <c r="K3" s="3">
        <v>2030</v>
      </c>
    </row>
    <row r="4" spans="1:11" ht="15.6">
      <c r="B4" t="s">
        <v>23</v>
      </c>
      <c r="D4" s="12">
        <v>5210</v>
      </c>
      <c r="E4" s="12">
        <v>5435</v>
      </c>
      <c r="F4" s="12">
        <v>5710</v>
      </c>
      <c r="G4" s="8">
        <v>5863.5537668166999</v>
      </c>
      <c r="H4" s="8">
        <v>6021.2369135464605</v>
      </c>
      <c r="I4" s="8">
        <v>6183.1604877970403</v>
      </c>
      <c r="J4" s="8">
        <v>6349.4385234771471</v>
      </c>
      <c r="K4" s="8">
        <v>6520.1881211042873</v>
      </c>
    </row>
    <row r="5" spans="1:11" ht="15.6">
      <c r="B5" t="s">
        <v>24</v>
      </c>
      <c r="D5" s="12">
        <v>3345</v>
      </c>
      <c r="E5" s="12">
        <v>3350</v>
      </c>
      <c r="F5" s="12">
        <v>3551</v>
      </c>
      <c r="G5" s="8">
        <v>3675.0826145424262</v>
      </c>
      <c r="H5" s="8">
        <v>3773.9132237938361</v>
      </c>
      <c r="I5" s="8">
        <v>3875.4015935228895</v>
      </c>
      <c r="J5" s="8">
        <v>3979.6191964323243</v>
      </c>
      <c r="K5" s="8">
        <v>4086.6394272743955</v>
      </c>
    </row>
    <row r="6" spans="1:11" ht="15.6">
      <c r="B6" s="5" t="s">
        <v>25</v>
      </c>
      <c r="C6" s="6"/>
      <c r="D6" s="13">
        <v>1865</v>
      </c>
      <c r="E6" s="13">
        <v>2085</v>
      </c>
      <c r="F6" s="13">
        <v>2159</v>
      </c>
      <c r="G6" s="10">
        <v>2188.4711522742718</v>
      </c>
      <c r="H6" s="10">
        <v>2247.3236897526244</v>
      </c>
      <c r="I6" s="10">
        <v>2307.7588942741509</v>
      </c>
      <c r="J6" s="10">
        <v>2369.8193270448228</v>
      </c>
      <c r="K6" s="10">
        <v>2433.5486938298918</v>
      </c>
    </row>
    <row r="7" spans="1:11" ht="15.6">
      <c r="B7" t="s">
        <v>26</v>
      </c>
      <c r="D7" s="14">
        <v>850</v>
      </c>
      <c r="E7" s="14">
        <v>870</v>
      </c>
      <c r="F7" s="14">
        <v>900</v>
      </c>
      <c r="G7" s="8">
        <v>939.809622627934</v>
      </c>
      <c r="H7" s="8">
        <v>965.08305654126127</v>
      </c>
      <c r="I7" s="8">
        <v>991.03614561707275</v>
      </c>
      <c r="J7" s="8">
        <v>1017.6871671951819</v>
      </c>
      <c r="K7" s="8">
        <v>1045.0548901310549</v>
      </c>
    </row>
    <row r="8" spans="1:11" ht="15.6">
      <c r="B8" t="s">
        <v>27</v>
      </c>
      <c r="D8" s="15">
        <v>400</v>
      </c>
      <c r="E8" s="15">
        <v>420</v>
      </c>
      <c r="F8" s="15">
        <v>400</v>
      </c>
      <c r="G8" s="9">
        <v>438.01700480002779</v>
      </c>
      <c r="H8" s="9">
        <v>449.79619236864636</v>
      </c>
      <c r="I8" s="9">
        <v>461.89214677110067</v>
      </c>
      <c r="J8" s="9">
        <v>474.31338652587368</v>
      </c>
      <c r="K8" s="9">
        <v>487.06865923211404</v>
      </c>
    </row>
    <row r="9" spans="1:11" ht="15.6">
      <c r="B9" s="5" t="s">
        <v>28</v>
      </c>
      <c r="C9" s="5"/>
      <c r="D9" s="13">
        <v>615</v>
      </c>
      <c r="E9" s="13">
        <v>795</v>
      </c>
      <c r="F9" s="13">
        <v>859</v>
      </c>
      <c r="G9" s="10">
        <v>810.64452484631011</v>
      </c>
      <c r="H9" s="10">
        <v>832.44444084271686</v>
      </c>
      <c r="I9" s="10">
        <v>854.83060188597756</v>
      </c>
      <c r="J9" s="10">
        <v>877.81877332376712</v>
      </c>
      <c r="K9" s="10">
        <v>901.42514446672294</v>
      </c>
    </row>
    <row r="10" spans="1:11" ht="15.6">
      <c r="B10" t="s">
        <v>29</v>
      </c>
      <c r="D10" s="12">
        <v>50</v>
      </c>
      <c r="E10" s="12">
        <v>50</v>
      </c>
      <c r="F10" s="12">
        <v>50</v>
      </c>
      <c r="G10" s="8">
        <v>50</v>
      </c>
      <c r="H10" s="8">
        <v>50</v>
      </c>
      <c r="I10" s="8">
        <v>50</v>
      </c>
      <c r="J10" s="8">
        <v>50</v>
      </c>
      <c r="K10" s="8">
        <v>50</v>
      </c>
    </row>
    <row r="11" spans="1:11" ht="15.6">
      <c r="B11" s="5" t="s">
        <v>30</v>
      </c>
      <c r="C11" s="6"/>
      <c r="D11" s="13">
        <v>565</v>
      </c>
      <c r="E11" s="13">
        <v>745</v>
      </c>
      <c r="F11" s="13">
        <v>809</v>
      </c>
      <c r="G11" s="10">
        <v>760.64452484631011</v>
      </c>
      <c r="H11" s="10">
        <v>782.44444084271686</v>
      </c>
      <c r="I11" s="10">
        <v>804.83060188597756</v>
      </c>
      <c r="J11" s="10">
        <v>827.81877332376712</v>
      </c>
      <c r="K11" s="10">
        <v>851.42514446672294</v>
      </c>
    </row>
    <row r="12" spans="1:11" ht="15.6">
      <c r="B12" t="s">
        <v>31</v>
      </c>
      <c r="D12" s="12">
        <v>227.5</v>
      </c>
      <c r="E12" s="12">
        <v>186.25</v>
      </c>
      <c r="F12" s="12">
        <v>147.25</v>
      </c>
      <c r="G12" s="8">
        <v>190.16113121157753</v>
      </c>
      <c r="H12" s="8">
        <v>195.61111021067921</v>
      </c>
      <c r="I12" s="8">
        <v>201.20765047149439</v>
      </c>
      <c r="J12" s="8">
        <v>206.95469333094178</v>
      </c>
      <c r="K12" s="8">
        <v>212.85628611668074</v>
      </c>
    </row>
    <row r="13" spans="1:11" ht="15.6">
      <c r="B13" s="7" t="s">
        <v>32</v>
      </c>
      <c r="C13" s="6"/>
      <c r="D13" s="16">
        <v>337.5</v>
      </c>
      <c r="E13" s="16">
        <v>558.75</v>
      </c>
      <c r="F13" s="16">
        <v>661.75</v>
      </c>
      <c r="G13" s="11">
        <v>570.48339363473258</v>
      </c>
      <c r="H13" s="11">
        <v>586.83333063203759</v>
      </c>
      <c r="I13" s="11">
        <v>603.62295141448317</v>
      </c>
      <c r="J13" s="11">
        <v>620.86407999282528</v>
      </c>
      <c r="K13" s="11">
        <v>638.56885835004221</v>
      </c>
    </row>
    <row r="16" spans="1:11" ht="21">
      <c r="B16" s="21" t="s">
        <v>33</v>
      </c>
      <c r="C16" s="17"/>
      <c r="D16" s="17"/>
      <c r="E16" s="17"/>
      <c r="F16" s="17"/>
      <c r="G16" s="17"/>
      <c r="H16" s="17"/>
      <c r="I16" s="17"/>
      <c r="J16" s="17"/>
      <c r="K16" s="17"/>
    </row>
    <row r="17" spans="2:11">
      <c r="E17" s="18"/>
    </row>
    <row r="18" spans="2:11">
      <c r="B18" t="s">
        <v>34</v>
      </c>
      <c r="D18" s="19"/>
      <c r="E18" s="19">
        <f>E4/D4-1</f>
        <v>4.3186180422264853E-2</v>
      </c>
      <c r="F18" s="19">
        <f>F4/E4-1</f>
        <v>5.059797608095673E-2</v>
      </c>
      <c r="G18" s="19">
        <f>CHOOSE('Cover page'!$C$7,'End Forecast'!G27,'End Forecast'!G28,'End Forecast'!G29)</f>
        <v>6.6892078251610795E-2</v>
      </c>
      <c r="H18" s="19">
        <f>CHOOSE('Cover page'!$C$7,'End Forecast'!H27,'End Forecast'!H28,'End Forecast'!H29)</f>
        <v>7.874502716628376E-2</v>
      </c>
      <c r="I18" s="19">
        <f>CHOOSE('Cover page'!$C$7,'End Forecast'!I27,'End Forecast'!I28,'End Forecast'!I29)</f>
        <v>7.2818552708947284E-2</v>
      </c>
      <c r="J18" s="19">
        <f>CHOOSE('Cover page'!$C$7,'End Forecast'!J27,'End Forecast'!J28,'End Forecast'!J29)</f>
        <v>7.5781789937615529E-2</v>
      </c>
      <c r="K18" s="19">
        <f>CHOOSE('Cover page'!$C$7,'End Forecast'!K27,'End Forecast'!K28,'End Forecast'!K29)</f>
        <v>7.43001713232814E-2</v>
      </c>
    </row>
    <row r="19" spans="2:11">
      <c r="B19" t="s">
        <v>35</v>
      </c>
      <c r="D19" s="19">
        <f>D5/D4</f>
        <v>0.64203454894433776</v>
      </c>
      <c r="E19" s="19">
        <f t="shared" ref="E19:F19" si="0">E5/E4</f>
        <v>0.6163753449862005</v>
      </c>
      <c r="F19" s="19">
        <f t="shared" si="0"/>
        <v>0.62189141856392294</v>
      </c>
      <c r="G19" s="19">
        <f>AVERAGE(D19:F19)</f>
        <v>0.6267671041648204</v>
      </c>
      <c r="H19" s="19">
        <f t="shared" ref="H19:K21" si="1">AVERAGE(E19:G19)</f>
        <v>0.62167795590498132</v>
      </c>
      <c r="I19" s="19">
        <f t="shared" si="1"/>
        <v>0.62344549287790818</v>
      </c>
      <c r="J19" s="19">
        <f t="shared" si="1"/>
        <v>0.62396351764923663</v>
      </c>
      <c r="K19" s="19">
        <f t="shared" si="1"/>
        <v>0.62302898881070867</v>
      </c>
    </row>
    <row r="20" spans="2:11">
      <c r="B20" t="s">
        <v>36</v>
      </c>
      <c r="D20">
        <f>D7/D4</f>
        <v>0.16314779270633398</v>
      </c>
      <c r="E20">
        <f t="shared" ref="E20:F20" si="2">E7/E4</f>
        <v>0.16007359705611776</v>
      </c>
      <c r="F20">
        <f t="shared" si="2"/>
        <v>0.15761821366024517</v>
      </c>
      <c r="G20" s="19">
        <f t="shared" ref="G20:G21" si="3">AVERAGE(D20:F20)</f>
        <v>0.16027986780756565</v>
      </c>
      <c r="H20" s="19">
        <f t="shared" si="1"/>
        <v>0.15932389284130952</v>
      </c>
      <c r="I20" s="19">
        <f t="shared" si="1"/>
        <v>0.15907399143637346</v>
      </c>
      <c r="J20" s="19">
        <f t="shared" si="1"/>
        <v>0.15955925069508289</v>
      </c>
      <c r="K20" s="19">
        <f t="shared" si="1"/>
        <v>0.15931904499092198</v>
      </c>
    </row>
    <row r="21" spans="2:11">
      <c r="B21" t="s">
        <v>37</v>
      </c>
      <c r="D21">
        <f>D8/D4</f>
        <v>7.6775431861804216E-2</v>
      </c>
      <c r="E21">
        <f t="shared" ref="E21:F21" si="4">E8/E4</f>
        <v>7.7276908923643056E-2</v>
      </c>
      <c r="F21">
        <f t="shared" si="4"/>
        <v>7.0052539404553416E-2</v>
      </c>
      <c r="G21" s="19">
        <f t="shared" si="3"/>
        <v>7.4701626730000234E-2</v>
      </c>
      <c r="H21" s="19">
        <f t="shared" si="1"/>
        <v>7.4010358352732231E-2</v>
      </c>
      <c r="I21" s="19">
        <f t="shared" si="1"/>
        <v>7.2921508162428636E-2</v>
      </c>
      <c r="J21" s="19">
        <f t="shared" si="1"/>
        <v>7.3877831081720371E-2</v>
      </c>
      <c r="K21" s="19">
        <f t="shared" si="1"/>
        <v>7.3603232532293741E-2</v>
      </c>
    </row>
    <row r="22" spans="2:11">
      <c r="B22" t="s">
        <v>38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  <c r="K22">
        <v>50</v>
      </c>
    </row>
    <row r="23" spans="2:11">
      <c r="B23" t="s">
        <v>39</v>
      </c>
      <c r="D23" s="20">
        <v>0.25</v>
      </c>
      <c r="E23" s="20">
        <v>0.25</v>
      </c>
      <c r="F23" s="20">
        <v>0.25</v>
      </c>
      <c r="G23" s="20">
        <v>0.25</v>
      </c>
      <c r="H23" s="20">
        <v>0.25</v>
      </c>
      <c r="I23" s="20">
        <v>0.25</v>
      </c>
      <c r="J23" s="20">
        <v>0.25</v>
      </c>
      <c r="K23" s="20">
        <v>0.25</v>
      </c>
    </row>
    <row r="26" spans="2:11" ht="21">
      <c r="B26" s="36" t="s">
        <v>40</v>
      </c>
      <c r="C26" s="36"/>
      <c r="D26" s="36"/>
      <c r="E26" s="36"/>
      <c r="F26" s="36"/>
      <c r="G26" s="36"/>
      <c r="H26" s="36"/>
      <c r="I26" s="36"/>
      <c r="J26" s="36"/>
      <c r="K26" s="36"/>
    </row>
    <row r="27" spans="2:11">
      <c r="B27" t="s">
        <v>41</v>
      </c>
      <c r="G27" s="19">
        <f>G28+2%</f>
        <v>6.6892078251610795E-2</v>
      </c>
      <c r="H27" s="19">
        <f t="shared" ref="H27:K27" si="5">H28+2%</f>
        <v>7.874502716628376E-2</v>
      </c>
      <c r="I27" s="19">
        <f t="shared" si="5"/>
        <v>7.2818552708947284E-2</v>
      </c>
      <c r="J27" s="19">
        <f t="shared" si="5"/>
        <v>7.5781789937615529E-2</v>
      </c>
      <c r="K27" s="19">
        <f t="shared" si="5"/>
        <v>7.43001713232814E-2</v>
      </c>
    </row>
    <row r="28" spans="2:11">
      <c r="B28" t="s">
        <v>42</v>
      </c>
      <c r="G28" s="19">
        <f>AVERAGE(E18:F18)</f>
        <v>4.6892078251610791E-2</v>
      </c>
      <c r="H28" s="19">
        <f>AVERAGE(F18:G18)</f>
        <v>5.8745027166283763E-2</v>
      </c>
      <c r="I28" s="19">
        <f>AVERAGE(G28:H28)</f>
        <v>5.2818552708947281E-2</v>
      </c>
      <c r="J28" s="19">
        <f>AVERAGE(H28:I28)</f>
        <v>5.5781789937615525E-2</v>
      </c>
      <c r="K28" s="19">
        <f>AVERAGE(I28:J28)</f>
        <v>5.4300171323281403E-2</v>
      </c>
    </row>
    <row r="29" spans="2:11">
      <c r="B29" t="s">
        <v>43</v>
      </c>
      <c r="G29" s="19">
        <f>G28-2%</f>
        <v>2.6892078251610791E-2</v>
      </c>
      <c r="H29" s="19">
        <f t="shared" ref="H29:K29" si="6">H28-2%</f>
        <v>3.8745027166283766E-2</v>
      </c>
      <c r="I29" s="19">
        <f t="shared" si="6"/>
        <v>3.2818552708947277E-2</v>
      </c>
      <c r="J29" s="19">
        <f t="shared" si="6"/>
        <v>3.5781789937615521E-2</v>
      </c>
      <c r="K29" s="19">
        <f t="shared" si="6"/>
        <v>3.4300171323281406E-2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-Neetu Neetu</dc:creator>
  <cp:keywords/>
  <dc:description/>
  <cp:lastModifiedBy/>
  <cp:revision/>
  <dcterms:created xsi:type="dcterms:W3CDTF">2026-04-12T22:09:53Z</dcterms:created>
  <dcterms:modified xsi:type="dcterms:W3CDTF">2026-04-14T01:36:22Z</dcterms:modified>
  <cp:category/>
  <cp:contentStatus/>
</cp:coreProperties>
</file>